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 defaultThemeVersion="124226"/>
  <xr:revisionPtr revIDLastSave="851" documentId="11_B33A7DC997D9AECF8A160B5333E9AC0D40E24C28" xr6:coauthVersionLast="47" xr6:coauthVersionMax="47" xr10:uidLastSave="{A952A7D9-28F4-4EC7-BD9C-876EE9C3ED2E}"/>
  <bookViews>
    <workbookView xWindow="240" yWindow="15" windowWidth="16095" windowHeight="9660" firstSheet="2" activeTab="3" xr2:uid="{00000000-000D-0000-FFFF-FFFF00000000}"/>
  </bookViews>
  <sheets>
    <sheet name="Hoja1" sheetId="2" r:id="rId1"/>
    <sheet name="Hoja2" sheetId="3" r:id="rId2"/>
    <sheet name="Hoja3" sheetId="4" r:id="rId3"/>
    <sheet name="Hoja4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5" l="1" a="1"/>
  <c r="T5" i="5"/>
  <c r="T9" i="5" a="1"/>
  <c r="T9" i="5"/>
  <c r="T10" i="5" a="1"/>
  <c r="T10" i="5"/>
  <c r="T8" i="5" a="1"/>
  <c r="T8" i="5"/>
  <c r="T7" i="5" a="1"/>
  <c r="T7" i="5"/>
  <c r="T6" i="5" a="1"/>
  <c r="T6" i="5"/>
  <c r="C5" i="5"/>
  <c r="D5" i="5"/>
  <c r="E5" i="5"/>
  <c r="F5" i="5"/>
  <c r="B11" i="4" a="1"/>
  <c r="B11" i="4"/>
  <c r="K6" i="5"/>
  <c r="M6" i="5"/>
  <c r="F7" i="5"/>
  <c r="M7" i="5"/>
  <c r="N7" i="5"/>
  <c r="Q7" i="5"/>
  <c r="R7" i="5"/>
  <c r="K8" i="5"/>
  <c r="O8" i="5"/>
  <c r="P8" i="5"/>
  <c r="D9" i="5"/>
  <c r="L9" i="5"/>
  <c r="M9" i="5"/>
  <c r="N9" i="5"/>
  <c r="P9" i="5"/>
  <c r="B10" i="5"/>
  <c r="C10" i="5"/>
  <c r="D10" i="5"/>
  <c r="G10" i="5"/>
  <c r="I10" i="5"/>
  <c r="J10" i="5"/>
  <c r="K10" i="5"/>
  <c r="M10" i="5"/>
  <c r="O10" i="5"/>
  <c r="P10" i="5"/>
  <c r="H5" i="5"/>
  <c r="J5" i="5"/>
  <c r="K5" i="5"/>
  <c r="M5" i="5"/>
  <c r="P5" i="5"/>
  <c r="S23" i="5"/>
  <c r="S18" i="5"/>
  <c r="S19" i="5"/>
  <c r="S20" i="5"/>
  <c r="S21" i="5"/>
  <c r="S22" i="5"/>
  <c r="S17" i="5"/>
  <c r="H17" i="4"/>
  <c r="H18" i="4"/>
  <c r="H19" i="4"/>
  <c r="H20" i="4"/>
  <c r="H21" i="4"/>
  <c r="H22" i="4"/>
  <c r="H16" i="4"/>
  <c r="H24" i="4" l="1"/>
  <c r="D9" i="4"/>
  <c r="G4" i="4"/>
  <c r="G3" i="4"/>
  <c r="F3" i="4"/>
  <c r="F6" i="4"/>
  <c r="G6" i="4"/>
  <c r="E7" i="4"/>
  <c r="F7" i="4"/>
  <c r="G7" i="4"/>
  <c r="B8" i="4"/>
  <c r="E8" i="4"/>
  <c r="F8" i="4"/>
  <c r="G8" i="4"/>
  <c r="H9" i="4" a="1"/>
  <c r="H9" i="4" s="1"/>
  <c r="C6" i="4"/>
  <c r="G5" i="4"/>
  <c r="F5" i="4"/>
  <c r="E5" i="4"/>
  <c r="E11" i="4" s="1" a="1"/>
  <c r="E11" i="4" s="1"/>
  <c r="C5" i="4"/>
  <c r="C11" i="4" s="1" a="1"/>
  <c r="C11" i="4" s="1"/>
  <c r="D7" i="4"/>
  <c r="H7" i="4" s="1" a="1"/>
  <c r="H7" i="4" s="1"/>
  <c r="D6" i="4"/>
  <c r="D4" i="4"/>
  <c r="D11" i="4" s="1" a="1"/>
  <c r="D11" i="4" s="1"/>
  <c r="B6" i="4"/>
  <c r="H6" i="4" s="1" a="1"/>
  <c r="H6" i="4" s="1"/>
  <c r="B5" i="4"/>
  <c r="H5" i="4" s="1" a="1"/>
  <c r="H5" i="4" s="1"/>
  <c r="B4" i="4"/>
  <c r="H4" i="4" s="1" a="1"/>
  <c r="H4" i="4" s="1"/>
  <c r="B3" i="4"/>
  <c r="F11" i="4" l="1" a="1"/>
  <c r="F11" i="4" s="1"/>
  <c r="G11" i="4" a="1"/>
  <c r="G11" i="4" s="1"/>
  <c r="H3" i="4" a="1"/>
  <c r="H3" i="4" s="1"/>
  <c r="H8" i="4" a="1"/>
  <c r="H8" i="4" s="1"/>
  <c r="H11" i="4" l="1" a="1"/>
  <c r="H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<sst xmlns="http://schemas.openxmlformats.org/spreadsheetml/2006/main" count="218" uniqueCount="152">
  <si>
    <t xml:space="preserve">Disseny d'interfícies WEB </t>
  </si>
  <si>
    <t>Bloc</t>
  </si>
  <si>
    <t>RA1</t>
  </si>
  <si>
    <t>RA2</t>
  </si>
  <si>
    <t>RA3</t>
  </si>
  <si>
    <t>RA4</t>
  </si>
  <si>
    <t>RA5</t>
  </si>
  <si>
    <t>RA6</t>
  </si>
  <si>
    <t>Continguts</t>
  </si>
  <si>
    <t>1 Anàlisi</t>
  </si>
  <si>
    <t>1.1; 1.2; 1.3; 1.5; 1.7;</t>
  </si>
  <si>
    <t>5.1;</t>
  </si>
  <si>
    <t>6.1; 6.3;</t>
  </si>
  <si>
    <t>1; 8;</t>
  </si>
  <si>
    <t>2 Disseny</t>
  </si>
  <si>
    <t>1.1; 1.2; 1.3; 1.4; 1.5; 1.6;</t>
  </si>
  <si>
    <t>3.8;</t>
  </si>
  <si>
    <t>6.1; 6.2; 6.3; 6.4; 6.5;</t>
  </si>
  <si>
    <t>3 HTML - Estructura del contingut</t>
  </si>
  <si>
    <t>1.3; 1.5;</t>
  </si>
  <si>
    <t>2.1;</t>
  </si>
  <si>
    <t>4.5;</t>
  </si>
  <si>
    <t>5.1; 5.3; 5.4; 5.5; 5.6;</t>
  </si>
  <si>
    <t>6.2; 6.4;</t>
  </si>
  <si>
    <t>1; 2; 3;</t>
  </si>
  <si>
    <t>4 CSS - Estils i maquetació</t>
  </si>
  <si>
    <t>1.2; 1.3; 1.4; 1.5;</t>
  </si>
  <si>
    <t>2.2; 2.3; 2.4; 2.5; 2.6; 2.7; 2.8;</t>
  </si>
  <si>
    <t xml:space="preserve">3.8; </t>
  </si>
  <si>
    <t>5.1; 5.3; 5.6;</t>
  </si>
  <si>
    <t xml:space="preserve">6.2; 6.3; 6.4; 6.6; </t>
  </si>
  <si>
    <t xml:space="preserve">1; 2; 7; 8; </t>
  </si>
  <si>
    <t>5 Contingut multimèdia</t>
  </si>
  <si>
    <t>3.1; 3.2; 3.4; 3.7;</t>
  </si>
  <si>
    <t>5.3;</t>
  </si>
  <si>
    <t>6.3;</t>
  </si>
  <si>
    <t>4; 7;</t>
  </si>
  <si>
    <t>6 Interactivitat</t>
  </si>
  <si>
    <t>1.5;</t>
  </si>
  <si>
    <t>4.1; 4.3; 4.6;</t>
  </si>
  <si>
    <t>5.1; 5.3;</t>
  </si>
  <si>
    <t>6.3; 6.4; 6.6;</t>
  </si>
  <si>
    <t>6;</t>
  </si>
  <si>
    <t>7 Propietat intel·lectual i multimèdia</t>
  </si>
  <si>
    <t>3.1; 3.2; 3.4; 3.5; 3.6; 3.7;</t>
  </si>
  <si>
    <t>4; 5;</t>
  </si>
  <si>
    <t>8 Preparació i presentacions</t>
  </si>
  <si>
    <t>X</t>
  </si>
  <si>
    <t>Activitat</t>
  </si>
  <si>
    <t>Hores</t>
  </si>
  <si>
    <t>CA</t>
  </si>
  <si>
    <t>RA</t>
  </si>
  <si>
    <t>Ins AV</t>
  </si>
  <si>
    <t>Identificació del públic objectiu i primers perfils d'usuari</t>
  </si>
  <si>
    <t xml:space="preserve">8; </t>
  </si>
  <si>
    <t>Entrega bloc 1</t>
  </si>
  <si>
    <t>Anàlisi d'aplicacions similars (detecció de patrons)</t>
  </si>
  <si>
    <t>1.3; 1.5; 1.7; 6.1;</t>
  </si>
  <si>
    <t>1; 6;</t>
  </si>
  <si>
    <t>Elements i principis clau del disseny d'interfícies</t>
  </si>
  <si>
    <t xml:space="preserve">1; 7; 8; </t>
  </si>
  <si>
    <t>1.1; 1.2; 5.1; 6.1;</t>
  </si>
  <si>
    <t>1; 5; 6;</t>
  </si>
  <si>
    <t>Definició del logotip, anàlisi i selecció paleta de colors</t>
  </si>
  <si>
    <t>1;</t>
  </si>
  <si>
    <t>1.1; 1.2; 1.4;</t>
  </si>
  <si>
    <t>Entrega bloc 2</t>
  </si>
  <si>
    <t xml:space="preserve"> Seleccionar tipografia, definir jerarquia tipogràfica</t>
  </si>
  <si>
    <t xml:space="preserve">1; </t>
  </si>
  <si>
    <t>1.1; 1.2; 1.4; 3.8;</t>
  </si>
  <si>
    <t xml:space="preserve"> Usabilitat i experiència d'usuari (UI/UX)</t>
  </si>
  <si>
    <t>8;</t>
  </si>
  <si>
    <t>6.1; 6.2; 6.3; 6.5;</t>
  </si>
  <si>
    <t xml:space="preserve">Prototipatge </t>
  </si>
  <si>
    <t>1.3; 1.5; 1.6;</t>
  </si>
  <si>
    <t>Disseny formularis</t>
  </si>
  <si>
    <t>6; 8;</t>
  </si>
  <si>
    <t>6.3; 6.4;</t>
  </si>
  <si>
    <t>Diagrama de flux, esquema navegació</t>
  </si>
  <si>
    <t>1.3; 6.4;</t>
  </si>
  <si>
    <t>Creació estructura HTML5, elements bàsics/semàntics, microformats, llistes, taules, formularis, validació HTML5</t>
  </si>
  <si>
    <t xml:space="preserve">1; 2; </t>
  </si>
  <si>
    <t>1.3; 1.5; 2.1; 4.5; 6.2;6.4;</t>
  </si>
  <si>
    <t>1; 4; 6;</t>
  </si>
  <si>
    <t>Entrega bloc 3</t>
  </si>
  <si>
    <t xml:space="preserve">Accessibilitat </t>
  </si>
  <si>
    <t>7;</t>
  </si>
  <si>
    <t>5;</t>
  </si>
  <si>
    <t>Introducció a CSS, estils bàsics, colors, tipografia, model de caixa, display, Flexbox/Grid layout, disseny responsiu (Media Queries), aplicació guia d'estils, accessibilitat amb CSS</t>
  </si>
  <si>
    <t xml:space="preserve">1; 2;  7; 8; </t>
  </si>
  <si>
    <t>1.2; 1.3; 1.4; 1.5; 2.2; 2.3; 2.4; 2.5; 2.6; 2.7; 2.8; 3.8; 5.1; 5.3; 5.6; 6.2; 6.3; 6.4; 6.6;</t>
  </si>
  <si>
    <t>1; 2; 3; 5; 6;</t>
  </si>
  <si>
    <t>Entrega bloc 4</t>
  </si>
  <si>
    <t>Tipus, formats, optimització, icones, conversions, accessibilitat (alt text) d'imatges</t>
  </si>
  <si>
    <t>1; 4; 7;</t>
  </si>
  <si>
    <t>3.1; 3.2; 3.4; 3.7; 5.3;</t>
  </si>
  <si>
    <t>3;</t>
  </si>
  <si>
    <t>Entrega final</t>
  </si>
  <si>
    <t xml:space="preserve"> Imatges responsives i bàners</t>
  </si>
  <si>
    <t>4;</t>
  </si>
  <si>
    <t>4.5; 6.3;</t>
  </si>
  <si>
    <t>4; 6;</t>
  </si>
  <si>
    <t>Elements interactius, events, comportaments, canvi dinàmic de propietats (concepte DOM), fluxos d'interacció, ferramentes prototipatge (figma.com), controls interactius, efectes visuals dinàmics, disseny formularis usables/accessibles, validació, feedback</t>
  </si>
  <si>
    <t>3; 6; 7; 8;</t>
  </si>
  <si>
    <t>1.5; 4.1; 4.3; 4.6; 5.1; 5.3; 6.3; 6.4; 6.6;</t>
  </si>
  <si>
    <t>1; 4; 5; 6;</t>
  </si>
  <si>
    <t>Entrega bloc 6</t>
  </si>
  <si>
    <t>Propietat intel·lectual, llicències, drets d'autor, etc</t>
  </si>
  <si>
    <t>3.1;</t>
  </si>
  <si>
    <t>Entrega bloc 7</t>
  </si>
  <si>
    <t>Animacions, efectes, integració àudio/vídeo en animacions, adaptació a gestors de contingut (CMS)</t>
  </si>
  <si>
    <t>3.5; 3.6; 3.7;</t>
  </si>
  <si>
    <t>Memòria i presentacions</t>
  </si>
  <si>
    <t>x</t>
  </si>
  <si>
    <t>Entrga final</t>
  </si>
  <si>
    <t>Total: 120</t>
  </si>
  <si>
    <t>% RA</t>
  </si>
  <si>
    <t>%RA</t>
  </si>
  <si>
    <t>Avaluació 1</t>
  </si>
  <si>
    <t>Avaluació 2</t>
  </si>
  <si>
    <t>Bloc 1</t>
  </si>
  <si>
    <t>Bloc 2</t>
  </si>
  <si>
    <t>Bloc 3</t>
  </si>
  <si>
    <t>Bloc 4</t>
  </si>
  <si>
    <t>Bloc 5</t>
  </si>
  <si>
    <t>Bloc 6</t>
  </si>
  <si>
    <t>Bloc 7</t>
  </si>
  <si>
    <t>Bloc 8</t>
  </si>
  <si>
    <t>Act 1</t>
  </si>
  <si>
    <t>Act 2</t>
  </si>
  <si>
    <t>Act 3</t>
  </si>
  <si>
    <t>Act 4</t>
  </si>
  <si>
    <t>Act 5</t>
  </si>
  <si>
    <t>Act 6</t>
  </si>
  <si>
    <t>Act 7</t>
  </si>
  <si>
    <t>Act 8</t>
  </si>
  <si>
    <t>Act 9</t>
  </si>
  <si>
    <t>Act 10</t>
  </si>
  <si>
    <t>Act 11</t>
  </si>
  <si>
    <t>Act 12</t>
  </si>
  <si>
    <t>Act 13</t>
  </si>
  <si>
    <t>Act 14</t>
  </si>
  <si>
    <t>Act 15</t>
  </si>
  <si>
    <t>Act 16</t>
  </si>
  <si>
    <t>Act 17</t>
  </si>
  <si>
    <t>Act 18</t>
  </si>
  <si>
    <t>RA1 (22,8%)</t>
  </si>
  <si>
    <t>RA2 (10,2%)</t>
  </si>
  <si>
    <t>RA3 (21,6%)</t>
  </si>
  <si>
    <t>RA4 (7,7%)</t>
  </si>
  <si>
    <t>RA5 (15,2%)</t>
  </si>
  <si>
    <t>RA6 (22,8%)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</si>
</sst>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0" xfId="0" applyFont="1"/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3" borderId="3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/>
    <xf numFmtId="0" fontId="5" fillId="3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" xfId="0" applyFont="1" applyFill="1" applyBorder="1"/>
    <xf numFmtId="0" fontId="3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A0C8-C164-49D4-9DB4-27DE0372BE6B}">
  <dimension ref="A1:H10"/>
  <sheetViews>
    <sheetView workbookViewId="0">
      <selection activeCell="D4" sqref="D4"/>
    </sheetView>
  </sheetViews>
  <sheetFormatPr defaultRowHeight="15"/>
  <cols>
    <col min="1" max="1" width="34.7109375" bestFit="1" customWidth="1"/>
    <col min="2" max="2" width="24.42578125" bestFit="1" customWidth="1"/>
    <col min="3" max="3" width="28.42578125" bestFit="1" customWidth="1"/>
    <col min="4" max="4" width="24.42578125" bestFit="1" customWidth="1"/>
    <col min="5" max="5" width="12.42578125" bestFit="1" customWidth="1"/>
    <col min="6" max="7" width="20.42578125" bestFit="1" customWidth="1"/>
    <col min="8" max="8" width="11.140625" bestFit="1" customWidth="1"/>
  </cols>
  <sheetData>
    <row r="1" spans="1:8" ht="15.75">
      <c r="A1" s="10" t="s">
        <v>0</v>
      </c>
      <c r="B1" s="11"/>
      <c r="C1" s="11"/>
      <c r="D1" s="11"/>
      <c r="E1" s="11"/>
      <c r="F1" s="11"/>
      <c r="G1" s="11"/>
      <c r="H1" s="11"/>
    </row>
    <row r="2" spans="1:8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>
      <c r="A3" s="2" t="s">
        <v>9</v>
      </c>
      <c r="B3" s="3" t="s">
        <v>10</v>
      </c>
      <c r="C3" s="3"/>
      <c r="D3" s="3"/>
      <c r="E3" s="3"/>
      <c r="F3" s="3" t="s">
        <v>11</v>
      </c>
      <c r="G3" s="3" t="s">
        <v>12</v>
      </c>
      <c r="H3" s="3" t="s">
        <v>13</v>
      </c>
    </row>
    <row r="4" spans="1:8" ht="15.75">
      <c r="A4" s="2" t="s">
        <v>14</v>
      </c>
      <c r="B4" s="3" t="s">
        <v>15</v>
      </c>
      <c r="C4" s="3"/>
      <c r="D4" s="3" t="s">
        <v>16</v>
      </c>
      <c r="E4" s="3"/>
      <c r="F4" s="3"/>
      <c r="G4" s="3" t="s">
        <v>17</v>
      </c>
      <c r="H4" s="3" t="s">
        <v>13</v>
      </c>
    </row>
    <row r="5" spans="1:8" ht="15.75">
      <c r="A5" s="2" t="s">
        <v>18</v>
      </c>
      <c r="B5" s="3" t="s">
        <v>19</v>
      </c>
      <c r="C5" s="3" t="s">
        <v>20</v>
      </c>
      <c r="D5" s="3"/>
      <c r="E5" s="3" t="s">
        <v>21</v>
      </c>
      <c r="F5" s="3" t="s">
        <v>22</v>
      </c>
      <c r="G5" s="3" t="s">
        <v>23</v>
      </c>
      <c r="H5" s="3" t="s">
        <v>24</v>
      </c>
    </row>
    <row r="6" spans="1:8" ht="15.75">
      <c r="A6" s="2" t="s">
        <v>25</v>
      </c>
      <c r="B6" s="3" t="s">
        <v>26</v>
      </c>
      <c r="C6" s="3" t="s">
        <v>27</v>
      </c>
      <c r="D6" s="3" t="s">
        <v>28</v>
      </c>
      <c r="E6" s="3"/>
      <c r="F6" s="3" t="s">
        <v>29</v>
      </c>
      <c r="G6" s="3" t="s">
        <v>30</v>
      </c>
      <c r="H6" s="3" t="s">
        <v>31</v>
      </c>
    </row>
    <row r="7" spans="1:8" ht="15.75">
      <c r="A7" s="2" t="s">
        <v>32</v>
      </c>
      <c r="B7" s="3"/>
      <c r="C7" s="3"/>
      <c r="D7" s="3" t="s">
        <v>33</v>
      </c>
      <c r="E7" s="3" t="s">
        <v>21</v>
      </c>
      <c r="F7" s="3" t="s">
        <v>34</v>
      </c>
      <c r="G7" s="3" t="s">
        <v>35</v>
      </c>
      <c r="H7" s="3" t="s">
        <v>36</v>
      </c>
    </row>
    <row r="8" spans="1:8" ht="15.75">
      <c r="A8" s="2" t="s">
        <v>37</v>
      </c>
      <c r="B8" s="3" t="s">
        <v>38</v>
      </c>
      <c r="C8" s="3"/>
      <c r="D8" s="3"/>
      <c r="E8" s="3" t="s">
        <v>39</v>
      </c>
      <c r="F8" s="3" t="s">
        <v>40</v>
      </c>
      <c r="G8" s="3" t="s">
        <v>41</v>
      </c>
      <c r="H8" s="3" t="s">
        <v>42</v>
      </c>
    </row>
    <row r="9" spans="1:8" ht="15.75">
      <c r="A9" s="2" t="s">
        <v>43</v>
      </c>
      <c r="B9" s="3"/>
      <c r="C9" s="3"/>
      <c r="D9" s="3" t="s">
        <v>44</v>
      </c>
      <c r="E9" s="3"/>
      <c r="F9" s="3"/>
      <c r="G9" s="3"/>
      <c r="H9" s="3" t="s">
        <v>45</v>
      </c>
    </row>
    <row r="10" spans="1:8" ht="15.75">
      <c r="A10" s="2" t="s">
        <v>46</v>
      </c>
      <c r="B10" s="3" t="s">
        <v>47</v>
      </c>
      <c r="C10" s="3" t="s">
        <v>47</v>
      </c>
      <c r="D10" s="3" t="s">
        <v>47</v>
      </c>
      <c r="E10" s="3" t="s">
        <v>47</v>
      </c>
      <c r="F10" s="3" t="s">
        <v>47</v>
      </c>
      <c r="G10" s="3" t="s">
        <v>47</v>
      </c>
      <c r="H10" s="3" t="s">
        <v>47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D08C-B997-4E3F-815A-4FABD35DD774}">
  <dimension ref="A1:G21"/>
  <sheetViews>
    <sheetView topLeftCell="A9" workbookViewId="0">
      <selection activeCell="E6" sqref="E6"/>
    </sheetView>
  </sheetViews>
  <sheetFormatPr defaultRowHeight="15"/>
  <cols>
    <col min="1" max="1" width="3.140625" bestFit="1" customWidth="1"/>
    <col min="2" max="2" width="37.85546875" bestFit="1" customWidth="1"/>
    <col min="3" max="3" width="10.140625" bestFit="1" customWidth="1"/>
    <col min="4" max="4" width="11.140625" bestFit="1" customWidth="1"/>
    <col min="5" max="5" width="36.5703125" bestFit="1" customWidth="1"/>
    <col min="6" max="6" width="11.5703125" bestFit="1" customWidth="1"/>
    <col min="7" max="7" width="14.140625" bestFit="1" customWidth="1"/>
  </cols>
  <sheetData>
    <row r="1" spans="1:7" ht="15.75">
      <c r="A1" s="12" t="s">
        <v>0</v>
      </c>
      <c r="B1" s="13"/>
      <c r="C1" s="13"/>
      <c r="D1" s="13"/>
      <c r="E1" s="13"/>
      <c r="F1" s="13"/>
      <c r="G1" s="13"/>
    </row>
    <row r="2" spans="1:7" ht="15.75">
      <c r="A2" s="4"/>
      <c r="B2" s="4" t="s">
        <v>48</v>
      </c>
      <c r="C2" s="4" t="s">
        <v>49</v>
      </c>
      <c r="D2" s="4" t="s">
        <v>8</v>
      </c>
      <c r="E2" s="4" t="s">
        <v>50</v>
      </c>
      <c r="F2" s="4" t="s">
        <v>51</v>
      </c>
      <c r="G2" s="4" t="s">
        <v>52</v>
      </c>
    </row>
    <row r="3" spans="1:7" ht="32.25">
      <c r="A3" s="5">
        <v>1</v>
      </c>
      <c r="B3" s="6" t="s">
        <v>53</v>
      </c>
      <c r="C3" s="5">
        <v>3</v>
      </c>
      <c r="D3" s="5" t="s">
        <v>54</v>
      </c>
      <c r="E3" s="5" t="s">
        <v>35</v>
      </c>
      <c r="F3" s="5" t="s">
        <v>42</v>
      </c>
      <c r="G3" s="5" t="s">
        <v>55</v>
      </c>
    </row>
    <row r="4" spans="1:7" ht="32.25">
      <c r="A4" s="5">
        <v>2</v>
      </c>
      <c r="B4" s="6" t="s">
        <v>56</v>
      </c>
      <c r="C4" s="5">
        <v>3</v>
      </c>
      <c r="D4" s="5" t="s">
        <v>13</v>
      </c>
      <c r="E4" s="5" t="s">
        <v>57</v>
      </c>
      <c r="F4" s="5" t="s">
        <v>58</v>
      </c>
      <c r="G4" s="5" t="s">
        <v>55</v>
      </c>
    </row>
    <row r="5" spans="1:7" ht="32.25">
      <c r="A5" s="5">
        <v>3</v>
      </c>
      <c r="B5" s="6" t="s">
        <v>59</v>
      </c>
      <c r="C5" s="5">
        <v>3</v>
      </c>
      <c r="D5" s="5" t="s">
        <v>60</v>
      </c>
      <c r="E5" s="5" t="s">
        <v>61</v>
      </c>
      <c r="F5" s="5" t="s">
        <v>62</v>
      </c>
      <c r="G5" s="5" t="s">
        <v>55</v>
      </c>
    </row>
    <row r="6" spans="1:7" ht="32.25">
      <c r="A6" s="5">
        <v>4</v>
      </c>
      <c r="B6" s="6" t="s">
        <v>63</v>
      </c>
      <c r="C6" s="5">
        <v>3</v>
      </c>
      <c r="D6" s="5" t="s">
        <v>64</v>
      </c>
      <c r="E6" s="5" t="s">
        <v>65</v>
      </c>
      <c r="F6" s="5" t="s">
        <v>64</v>
      </c>
      <c r="G6" s="5" t="s">
        <v>66</v>
      </c>
    </row>
    <row r="7" spans="1:7" ht="32.25">
      <c r="A7" s="5">
        <v>5</v>
      </c>
      <c r="B7" s="6" t="s">
        <v>67</v>
      </c>
      <c r="C7" s="5">
        <v>3</v>
      </c>
      <c r="D7" s="5" t="s">
        <v>68</v>
      </c>
      <c r="E7" s="5" t="s">
        <v>69</v>
      </c>
      <c r="F7" s="5" t="s">
        <v>64</v>
      </c>
      <c r="G7" s="5" t="s">
        <v>66</v>
      </c>
    </row>
    <row r="8" spans="1:7" ht="15.75">
      <c r="A8" s="5">
        <v>6</v>
      </c>
      <c r="B8" s="5" t="s">
        <v>70</v>
      </c>
      <c r="C8" s="5">
        <v>3</v>
      </c>
      <c r="D8" s="5" t="s">
        <v>71</v>
      </c>
      <c r="E8" s="5" t="s">
        <v>72</v>
      </c>
      <c r="F8" s="5" t="s">
        <v>42</v>
      </c>
      <c r="G8" s="5" t="s">
        <v>66</v>
      </c>
    </row>
    <row r="9" spans="1:7" ht="15.75">
      <c r="A9" s="5">
        <v>7</v>
      </c>
      <c r="B9" s="5" t="s">
        <v>73</v>
      </c>
      <c r="C9" s="5">
        <v>3</v>
      </c>
      <c r="D9" s="5" t="s">
        <v>68</v>
      </c>
      <c r="E9" s="5" t="s">
        <v>74</v>
      </c>
      <c r="F9" s="5" t="s">
        <v>64</v>
      </c>
      <c r="G9" s="5" t="s">
        <v>66</v>
      </c>
    </row>
    <row r="10" spans="1:7" ht="15.75">
      <c r="A10" s="5">
        <v>8</v>
      </c>
      <c r="B10" s="5" t="s">
        <v>75</v>
      </c>
      <c r="C10" s="5">
        <v>3</v>
      </c>
      <c r="D10" s="5" t="s">
        <v>76</v>
      </c>
      <c r="E10" s="5" t="s">
        <v>77</v>
      </c>
      <c r="F10" s="5" t="s">
        <v>42</v>
      </c>
      <c r="G10" s="5" t="s">
        <v>66</v>
      </c>
    </row>
    <row r="11" spans="1:7" ht="15.75">
      <c r="A11" s="5">
        <v>9</v>
      </c>
      <c r="B11" s="5" t="s">
        <v>78</v>
      </c>
      <c r="C11" s="5">
        <v>3</v>
      </c>
      <c r="D11" s="5" t="s">
        <v>13</v>
      </c>
      <c r="E11" s="5" t="s">
        <v>79</v>
      </c>
      <c r="F11" s="5" t="s">
        <v>58</v>
      </c>
      <c r="G11" s="5" t="s">
        <v>66</v>
      </c>
    </row>
    <row r="12" spans="1:7" ht="64.5">
      <c r="A12" s="5">
        <v>10</v>
      </c>
      <c r="B12" s="6" t="s">
        <v>80</v>
      </c>
      <c r="C12" s="5">
        <v>21</v>
      </c>
      <c r="D12" s="5" t="s">
        <v>81</v>
      </c>
      <c r="E12" s="5" t="s">
        <v>82</v>
      </c>
      <c r="F12" s="5" t="s">
        <v>83</v>
      </c>
      <c r="G12" s="5" t="s">
        <v>84</v>
      </c>
    </row>
    <row r="13" spans="1:7" ht="15.75">
      <c r="A13" s="5">
        <v>11</v>
      </c>
      <c r="B13" s="5" t="s">
        <v>85</v>
      </c>
      <c r="C13" s="5">
        <v>3</v>
      </c>
      <c r="D13" s="5" t="s">
        <v>86</v>
      </c>
      <c r="E13" s="5" t="s">
        <v>22</v>
      </c>
      <c r="F13" s="5" t="s">
        <v>87</v>
      </c>
      <c r="G13" s="5" t="s">
        <v>84</v>
      </c>
    </row>
    <row r="14" spans="1:7" ht="81">
      <c r="A14" s="5">
        <v>12</v>
      </c>
      <c r="B14" s="6" t="s">
        <v>88</v>
      </c>
      <c r="C14" s="5">
        <v>27</v>
      </c>
      <c r="D14" s="5" t="s">
        <v>89</v>
      </c>
      <c r="E14" s="6" t="s">
        <v>90</v>
      </c>
      <c r="F14" s="5" t="s">
        <v>91</v>
      </c>
      <c r="G14" s="5" t="s">
        <v>92</v>
      </c>
    </row>
    <row r="15" spans="1:7" ht="48.75">
      <c r="A15" s="5">
        <v>13</v>
      </c>
      <c r="B15" s="6" t="s">
        <v>93</v>
      </c>
      <c r="C15" s="5">
        <v>3</v>
      </c>
      <c r="D15" s="5" t="s">
        <v>94</v>
      </c>
      <c r="E15" s="5" t="s">
        <v>95</v>
      </c>
      <c r="F15" s="5" t="s">
        <v>96</v>
      </c>
      <c r="G15" s="5" t="s">
        <v>97</v>
      </c>
    </row>
    <row r="16" spans="1:7" ht="16.5">
      <c r="A16" s="5">
        <v>14</v>
      </c>
      <c r="B16" s="6" t="s">
        <v>98</v>
      </c>
      <c r="C16" s="5">
        <v>3</v>
      </c>
      <c r="D16" s="5" t="s">
        <v>99</v>
      </c>
      <c r="E16" s="5" t="s">
        <v>100</v>
      </c>
      <c r="F16" s="5" t="s">
        <v>101</v>
      </c>
      <c r="G16" s="5" t="s">
        <v>97</v>
      </c>
    </row>
    <row r="17" spans="1:7" ht="129">
      <c r="A17" s="5">
        <v>15</v>
      </c>
      <c r="B17" s="6" t="s">
        <v>102</v>
      </c>
      <c r="C17" s="5">
        <v>24</v>
      </c>
      <c r="D17" s="5" t="s">
        <v>103</v>
      </c>
      <c r="E17" s="5" t="s">
        <v>104</v>
      </c>
      <c r="F17" s="5" t="s">
        <v>105</v>
      </c>
      <c r="G17" s="5" t="s">
        <v>106</v>
      </c>
    </row>
    <row r="18" spans="1:7" ht="32.25">
      <c r="A18" s="5">
        <v>16</v>
      </c>
      <c r="B18" s="6" t="s">
        <v>107</v>
      </c>
      <c r="C18" s="5">
        <v>3</v>
      </c>
      <c r="D18" s="5" t="s">
        <v>45</v>
      </c>
      <c r="E18" s="5" t="s">
        <v>108</v>
      </c>
      <c r="F18" s="5">
        <v>3</v>
      </c>
      <c r="G18" s="5" t="s">
        <v>109</v>
      </c>
    </row>
    <row r="19" spans="1:7" ht="48.75">
      <c r="A19" s="5">
        <v>17</v>
      </c>
      <c r="B19" s="6" t="s">
        <v>110</v>
      </c>
      <c r="C19" s="5">
        <v>3</v>
      </c>
      <c r="D19" s="5" t="s">
        <v>99</v>
      </c>
      <c r="E19" s="5" t="s">
        <v>111</v>
      </c>
      <c r="F19" s="5">
        <v>3</v>
      </c>
      <c r="G19" s="5" t="s">
        <v>109</v>
      </c>
    </row>
    <row r="20" spans="1:7" ht="15.75">
      <c r="A20" s="5">
        <v>18</v>
      </c>
      <c r="B20" s="5" t="s">
        <v>112</v>
      </c>
      <c r="C20" s="7">
        <v>6</v>
      </c>
      <c r="D20" s="5" t="s">
        <v>113</v>
      </c>
      <c r="E20" s="5" t="s">
        <v>47</v>
      </c>
      <c r="F20" s="5" t="s">
        <v>47</v>
      </c>
      <c r="G20" s="5" t="s">
        <v>114</v>
      </c>
    </row>
    <row r="21" spans="1:7" ht="15.75">
      <c r="A21" s="8"/>
      <c r="B21" s="8"/>
      <c r="C21" s="9" t="s">
        <v>115</v>
      </c>
      <c r="D21" s="8"/>
      <c r="E21" s="8"/>
      <c r="F21" s="8"/>
      <c r="G21" s="8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D6C4-18D9-416B-9EE5-38847D7BA11B}">
  <dimension ref="A1:H26"/>
  <sheetViews>
    <sheetView workbookViewId="0">
      <selection activeCell="J27" sqref="J27"/>
    </sheetView>
  </sheetViews>
  <sheetFormatPr defaultRowHeight="15"/>
  <cols>
    <col min="1" max="1" width="34.7109375" bestFit="1" customWidth="1"/>
    <col min="2" max="2" width="6.5703125" customWidth="1"/>
    <col min="3" max="4" width="6.140625" bestFit="1" customWidth="1"/>
    <col min="5" max="5" width="5.140625" bestFit="1" customWidth="1"/>
    <col min="6" max="7" width="6.140625" bestFit="1" customWidth="1"/>
    <col min="8" max="8" width="8.140625" bestFit="1" customWidth="1"/>
  </cols>
  <sheetData>
    <row r="1" spans="1:8" ht="15.75">
      <c r="A1" s="10" t="s">
        <v>0</v>
      </c>
      <c r="B1" s="11"/>
      <c r="C1" s="11"/>
      <c r="D1" s="11"/>
      <c r="E1" s="11"/>
      <c r="F1" s="11"/>
      <c r="G1" s="11"/>
      <c r="H1" s="11"/>
    </row>
    <row r="2" spans="1:8" ht="15.75">
      <c r="A2" s="1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116</v>
      </c>
    </row>
    <row r="3" spans="1:8" ht="17.25" customHeight="1">
      <c r="A3" s="14" t="s">
        <v>9</v>
      </c>
      <c r="B3" s="16" t="str">
        <f>ROUND((B16/H24)*100,1)&amp;"%"</f>
        <v>6,5%</v>
      </c>
      <c r="C3" s="16"/>
      <c r="D3" s="16"/>
      <c r="E3" s="16"/>
      <c r="F3" s="16" t="str">
        <f>ROUND((F16/H24)*100,1)&amp;"%"</f>
        <v>1,3%</v>
      </c>
      <c r="G3" s="16" t="str">
        <f>ROUND((G16/H24)*100,1)&amp;"%"</f>
        <v>3,9%</v>
      </c>
      <c r="H3" s="21" t="str" cm="1">
        <f t="array" ref="H3">SUM(VALUE(B3:G3))*100&amp;"%"</f>
        <v>11,7%</v>
      </c>
    </row>
    <row r="4" spans="1:8" ht="15.75">
      <c r="A4" s="14" t="s">
        <v>14</v>
      </c>
      <c r="B4" s="16" t="str">
        <f>ROUND((B17/H24)*100,1)&amp;"%"</f>
        <v>13%</v>
      </c>
      <c r="C4" s="16"/>
      <c r="D4" s="16" t="str">
        <f>ROUND((D17/H24)*100,1)&amp;"%"</f>
        <v>1,3%</v>
      </c>
      <c r="E4" s="16"/>
      <c r="F4" s="16"/>
      <c r="G4" s="16" t="str">
        <f>ROUND((G17/H24)*100,1)&amp;"%"</f>
        <v>9,1%</v>
      </c>
      <c r="H4" s="21" t="str" cm="1">
        <f t="array" ref="H4">SUM(VALUE(B4:G4))*100&amp;"%"</f>
        <v>23,4%</v>
      </c>
    </row>
    <row r="5" spans="1:8" ht="15.75">
      <c r="A5" s="14" t="s">
        <v>18</v>
      </c>
      <c r="B5" s="16" t="str">
        <f>ROUND((B18/H24)*100,1)&amp;"%"</f>
        <v>2,6%</v>
      </c>
      <c r="C5" s="16" t="str">
        <f>ROUND((C18/H24)*100,1)&amp;"%"</f>
        <v>1,3%</v>
      </c>
      <c r="D5" s="16"/>
      <c r="E5" s="16" t="str">
        <f>ROUND((E18/H24)*100,1)&amp;"%"</f>
        <v>1,3%</v>
      </c>
      <c r="F5" s="16" t="str">
        <f>ROUND((F18/H24)*100,1)&amp;"%"</f>
        <v>6,5%</v>
      </c>
      <c r="G5" s="16" t="str">
        <f>ROUND((G18/H24)*100,1)&amp;"%"</f>
        <v>2,6%</v>
      </c>
      <c r="H5" s="21" t="str" cm="1">
        <f t="array" ref="H5">SUM(VALUE(B5:G5))*100&amp;"%"</f>
        <v>14,3%</v>
      </c>
    </row>
    <row r="6" spans="1:8" ht="15.75">
      <c r="A6" s="14" t="s">
        <v>25</v>
      </c>
      <c r="B6" s="16" t="str">
        <f>ROUND((B19/H24)*100,1)&amp;"%"</f>
        <v>5,2%</v>
      </c>
      <c r="C6" s="16" t="str">
        <f>ROUND((C19/H24)*100,1)&amp;"%"</f>
        <v>9,1%</v>
      </c>
      <c r="D6" s="16" t="str">
        <f>ROUND((D19/H24)*100,1)&amp;"%"</f>
        <v>1,3%</v>
      </c>
      <c r="E6" s="16"/>
      <c r="F6" s="16" t="str">
        <f>ROUND((F19/H24)*100,1)&amp;"%"</f>
        <v>3,9%</v>
      </c>
      <c r="G6" s="16" t="str">
        <f>ROUND((G19/H24)*100,1)&amp;"%"</f>
        <v>5,2%</v>
      </c>
      <c r="H6" s="21" t="str" cm="1">
        <f t="array" ref="H6">SUM(VALUE(B6:G6))*100&amp;"%"</f>
        <v>24,7%</v>
      </c>
    </row>
    <row r="7" spans="1:8" ht="15.75">
      <c r="A7" s="14" t="s">
        <v>32</v>
      </c>
      <c r="B7" s="16"/>
      <c r="C7" s="16"/>
      <c r="D7" s="16" t="str">
        <f>ROUND((D20/H24)*100,1)&amp;"%"</f>
        <v>5,2%</v>
      </c>
      <c r="E7" s="16" t="str">
        <f>ROUND((E20/H24)*100,1)&amp;"%"</f>
        <v>1,3%</v>
      </c>
      <c r="F7" s="16" t="str">
        <f>ROUND((F20/H24)*100,1)&amp;"%"</f>
        <v>1,3%</v>
      </c>
      <c r="G7" s="16" t="str">
        <f>ROUND((G20/H24)*100,1)&amp;"%"</f>
        <v>1,3%</v>
      </c>
      <c r="H7" s="21" t="str" cm="1">
        <f t="array" ref="H7">SUM(VALUE(B7:G7))*100&amp;"%"</f>
        <v>9,1%</v>
      </c>
    </row>
    <row r="8" spans="1:8" ht="15.75">
      <c r="A8" s="14" t="s">
        <v>37</v>
      </c>
      <c r="B8" s="16" t="str">
        <f>ROUND((B21/H24)*100,1)&amp;"%"</f>
        <v>1,3%</v>
      </c>
      <c r="C8" s="16"/>
      <c r="D8" s="16"/>
      <c r="E8" s="16" t="str">
        <f>ROUND((E21/H24)*100,1)&amp;"%"</f>
        <v>3,9%</v>
      </c>
      <c r="F8" s="16" t="str">
        <f>ROUND((F21/H24)*100,1)&amp;"%"</f>
        <v>2,6%</v>
      </c>
      <c r="G8" s="16" t="str">
        <f>ROUND((G21/H24)*100,1)&amp;"%"</f>
        <v>3,9%</v>
      </c>
      <c r="H8" s="21" t="str" cm="1">
        <f t="array" ref="H8">SUM(VALUE(B8:G8))*100&amp;"%"</f>
        <v>11,7%</v>
      </c>
    </row>
    <row r="9" spans="1:8" ht="15.75">
      <c r="A9" s="14" t="s">
        <v>43</v>
      </c>
      <c r="B9" s="16"/>
      <c r="C9" s="16"/>
      <c r="D9" s="16" t="str">
        <f>ROUND((D22/H24)*100,1)&amp;"%"</f>
        <v>5,2%</v>
      </c>
      <c r="E9" s="16"/>
      <c r="F9" s="16"/>
      <c r="G9" s="16"/>
      <c r="H9" s="21" t="str" cm="1">
        <f t="array" ref="H9">SUM(VALUE(B9:G9))*100&amp;"%"</f>
        <v>5,2%</v>
      </c>
    </row>
    <row r="10" spans="1:8" ht="15.75">
      <c r="A10" s="19" t="s">
        <v>46</v>
      </c>
      <c r="B10" s="20" t="s">
        <v>47</v>
      </c>
      <c r="C10" s="20" t="s">
        <v>47</v>
      </c>
      <c r="D10" s="16" t="s">
        <v>47</v>
      </c>
      <c r="E10" s="16" t="s">
        <v>47</v>
      </c>
      <c r="F10" s="16" t="s">
        <v>47</v>
      </c>
      <c r="G10" s="16" t="s">
        <v>47</v>
      </c>
      <c r="H10" s="21"/>
    </row>
    <row r="11" spans="1:8" ht="16.5" customHeight="1">
      <c r="A11" s="18" t="s">
        <v>117</v>
      </c>
      <c r="B11" s="21" t="str" cm="1">
        <f t="array" ref="B11">SUM(VALUE(B3:B9))*100&amp;"%"</f>
        <v>28,6%</v>
      </c>
      <c r="C11" s="21" t="str" cm="1">
        <f t="array" ref="C11">SUM(VALUE(C3:C9))*100&amp;"%"</f>
        <v>10,4%</v>
      </c>
      <c r="D11" s="21" t="str" cm="1">
        <f t="array" ref="D11">SUM(VALUE(D3:D9))*100&amp;"%"</f>
        <v>13%</v>
      </c>
      <c r="E11" s="21" t="str" cm="1">
        <f t="array" ref="E11">SUM(VALUE(E3:E9))*100&amp;"%"</f>
        <v>6,5%</v>
      </c>
      <c r="F11" s="21" t="str" cm="1">
        <f t="array" ref="F11">SUM(VALUE(F3:F9))*100&amp;"%"</f>
        <v>15,6%</v>
      </c>
      <c r="G11" s="21" t="str" cm="1">
        <f t="array" ref="G11">SUM(VALUE(G3:G9))*100&amp;"%"</f>
        <v>26%</v>
      </c>
      <c r="H11" s="21" t="str" cm="1">
        <f t="array" ref="H11">ROUND(SUM(VALUE(H3:H10))*100,0) &amp; "/" &amp; ROUND(SUM(VALUE(B11:G11))*100,0)</f>
        <v>100/100</v>
      </c>
    </row>
    <row r="16" spans="1:8" ht="15.75">
      <c r="B16" s="3">
        <v>5</v>
      </c>
      <c r="C16" s="3"/>
      <c r="D16" s="3"/>
      <c r="E16" s="3"/>
      <c r="F16" s="3">
        <v>1</v>
      </c>
      <c r="G16" s="3">
        <v>3</v>
      </c>
      <c r="H16" s="3">
        <f>SUM(B16:G16)</f>
        <v>9</v>
      </c>
    </row>
    <row r="17" spans="2:8" ht="15.75">
      <c r="B17" s="3">
        <v>10</v>
      </c>
      <c r="C17" s="3"/>
      <c r="D17" s="3">
        <v>1</v>
      </c>
      <c r="E17" s="3"/>
      <c r="F17" s="3"/>
      <c r="G17" s="3">
        <v>7</v>
      </c>
      <c r="H17" s="3">
        <f t="shared" ref="H17:H23" si="0">SUM(B17:G17)</f>
        <v>18</v>
      </c>
    </row>
    <row r="18" spans="2:8" ht="15.75">
      <c r="B18" s="3">
        <v>2</v>
      </c>
      <c r="C18" s="3">
        <v>1</v>
      </c>
      <c r="D18" s="3"/>
      <c r="E18" s="3">
        <v>1</v>
      </c>
      <c r="F18" s="3">
        <v>5</v>
      </c>
      <c r="G18" s="3">
        <v>2</v>
      </c>
      <c r="H18" s="3">
        <f t="shared" si="0"/>
        <v>11</v>
      </c>
    </row>
    <row r="19" spans="2:8" ht="15.75">
      <c r="B19" s="3">
        <v>4</v>
      </c>
      <c r="C19" s="3">
        <v>7</v>
      </c>
      <c r="D19" s="3">
        <v>1</v>
      </c>
      <c r="E19" s="3"/>
      <c r="F19" s="3">
        <v>3</v>
      </c>
      <c r="G19" s="3">
        <v>4</v>
      </c>
      <c r="H19" s="3">
        <f t="shared" si="0"/>
        <v>19</v>
      </c>
    </row>
    <row r="20" spans="2:8" ht="15.75">
      <c r="B20" s="3"/>
      <c r="C20" s="3"/>
      <c r="D20" s="3">
        <v>4</v>
      </c>
      <c r="E20" s="3">
        <v>1</v>
      </c>
      <c r="F20" s="3">
        <v>1</v>
      </c>
      <c r="G20" s="3">
        <v>1</v>
      </c>
      <c r="H20" s="3">
        <f t="shared" si="0"/>
        <v>7</v>
      </c>
    </row>
    <row r="21" spans="2:8" ht="15.75">
      <c r="B21" s="3">
        <v>1</v>
      </c>
      <c r="C21" s="3"/>
      <c r="D21" s="3"/>
      <c r="E21" s="3">
        <v>3</v>
      </c>
      <c r="F21" s="3">
        <v>2</v>
      </c>
      <c r="G21" s="3">
        <v>3</v>
      </c>
      <c r="H21" s="3">
        <f t="shared" si="0"/>
        <v>9</v>
      </c>
    </row>
    <row r="22" spans="2:8" ht="15.75">
      <c r="B22" s="3"/>
      <c r="C22" s="3"/>
      <c r="D22" s="3">
        <v>4</v>
      </c>
      <c r="E22" s="3"/>
      <c r="F22" s="3"/>
      <c r="G22" s="3"/>
      <c r="H22" s="3">
        <f t="shared" si="0"/>
        <v>4</v>
      </c>
    </row>
    <row r="23" spans="2:8" ht="15.75">
      <c r="H23" s="3"/>
    </row>
    <row r="24" spans="2:8">
      <c r="H24">
        <f>SUM(H16:H23)</f>
        <v>77</v>
      </c>
    </row>
    <row r="26" spans="2:8">
      <c r="B26" s="17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3BF1-7A01-4527-9098-4D5261CAA185}">
  <dimension ref="A1:V26"/>
  <sheetViews>
    <sheetView tabSelected="1" workbookViewId="0">
      <selection activeCell="L26" sqref="L26"/>
    </sheetView>
  </sheetViews>
  <sheetFormatPr defaultRowHeight="15"/>
  <cols>
    <col min="1" max="1" width="11.42578125" bestFit="1" customWidth="1"/>
    <col min="2" max="2" width="10.7109375" bestFit="1" customWidth="1"/>
    <col min="5" max="5" width="10.7109375" bestFit="1" customWidth="1"/>
    <col min="13" max="13" width="10.28515625" bestFit="1" customWidth="1"/>
    <col min="16" max="16" width="9.28515625" bestFit="1" customWidth="1"/>
  </cols>
  <sheetData>
    <row r="1" spans="1:22" ht="15.7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</row>
    <row r="2" spans="1:22">
      <c r="A2" s="27"/>
      <c r="B2" s="28" t="s">
        <v>118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28" t="s">
        <v>119</v>
      </c>
      <c r="O2" s="29"/>
      <c r="P2" s="29"/>
      <c r="Q2" s="29"/>
      <c r="R2" s="29"/>
      <c r="S2" s="30"/>
    </row>
    <row r="3" spans="1:22">
      <c r="A3" s="27"/>
      <c r="B3" s="28" t="s">
        <v>120</v>
      </c>
      <c r="C3" s="29"/>
      <c r="D3" s="30"/>
      <c r="E3" s="28" t="s">
        <v>121</v>
      </c>
      <c r="F3" s="29"/>
      <c r="G3" s="29"/>
      <c r="H3" s="29"/>
      <c r="I3" s="29"/>
      <c r="J3" s="30"/>
      <c r="K3" s="28" t="s">
        <v>122</v>
      </c>
      <c r="L3" s="30"/>
      <c r="M3" s="31" t="s">
        <v>123</v>
      </c>
      <c r="N3" s="28" t="s">
        <v>124</v>
      </c>
      <c r="O3" s="30"/>
      <c r="P3" s="31" t="s">
        <v>125</v>
      </c>
      <c r="Q3" s="28" t="s">
        <v>126</v>
      </c>
      <c r="R3" s="30"/>
      <c r="S3" s="31" t="s">
        <v>127</v>
      </c>
    </row>
    <row r="4" spans="1:22" ht="15.75">
      <c r="A4" s="16" t="s">
        <v>51</v>
      </c>
      <c r="B4" s="32" t="s">
        <v>128</v>
      </c>
      <c r="C4" s="32" t="s">
        <v>129</v>
      </c>
      <c r="D4" s="32" t="s">
        <v>130</v>
      </c>
      <c r="E4" s="32" t="s">
        <v>131</v>
      </c>
      <c r="F4" s="32" t="s">
        <v>132</v>
      </c>
      <c r="G4" s="32" t="s">
        <v>133</v>
      </c>
      <c r="H4" s="32" t="s">
        <v>134</v>
      </c>
      <c r="I4" s="32" t="s">
        <v>135</v>
      </c>
      <c r="J4" s="32" t="s">
        <v>136</v>
      </c>
      <c r="K4" s="32" t="s">
        <v>137</v>
      </c>
      <c r="L4" s="32" t="s">
        <v>138</v>
      </c>
      <c r="M4" s="32" t="s">
        <v>139</v>
      </c>
      <c r="N4" s="32" t="s">
        <v>140</v>
      </c>
      <c r="O4" s="32" t="s">
        <v>141</v>
      </c>
      <c r="P4" s="32" t="s">
        <v>142</v>
      </c>
      <c r="Q4" s="32" t="s">
        <v>143</v>
      </c>
      <c r="R4" s="32" t="s">
        <v>144</v>
      </c>
      <c r="S4" s="37" t="s">
        <v>145</v>
      </c>
    </row>
    <row r="5" spans="1:22">
      <c r="A5" s="16" t="s">
        <v>146</v>
      </c>
      <c r="B5" s="16"/>
      <c r="C5" s="16" t="str">
        <f>ROUND((C17/S17)*100,1)&amp;"%"</f>
        <v>13,6%</v>
      </c>
      <c r="D5" s="16" t="str">
        <f>ROUND((D17/S17)*100,1)&amp;"%"</f>
        <v>9,1%</v>
      </c>
      <c r="E5" s="16" t="str">
        <f>ROUND((E17/S17)*100,1)&amp;"%"</f>
        <v>13,6%</v>
      </c>
      <c r="F5" s="16" t="str">
        <f>ROUND((F17/S17)*100,1)&amp;"%"</f>
        <v>13,6%</v>
      </c>
      <c r="G5" s="16"/>
      <c r="H5" s="16" t="str">
        <f>ROUND((H17/S17)*100,1)&amp;"%"</f>
        <v>13,6%</v>
      </c>
      <c r="I5" s="16"/>
      <c r="J5" s="16" t="str">
        <f>ROUND((J17/S17)*100,1)&amp;"%"</f>
        <v>4,5%</v>
      </c>
      <c r="K5" s="16" t="str">
        <f>ROUND((K17/S17)*100,1)&amp;"%"</f>
        <v>9,1%</v>
      </c>
      <c r="L5" s="16"/>
      <c r="M5" s="16" t="str">
        <f>ROUND((M17/S17)*100,1)&amp;"%"</f>
        <v>18,2%</v>
      </c>
      <c r="N5" s="16"/>
      <c r="O5" s="16"/>
      <c r="P5" s="16" t="str">
        <f>ROUND((P17/S17)*100,1)&amp;"%"</f>
        <v>4,5%</v>
      </c>
      <c r="Q5" s="16"/>
      <c r="R5" s="25"/>
      <c r="S5" s="16" t="s">
        <v>47</v>
      </c>
      <c r="T5" s="26" t="str" cm="1">
        <f t="array" ref="T5">SUM(VALUE(B5:R5))*100+0.2&amp;"%"</f>
        <v>100%</v>
      </c>
    </row>
    <row r="6" spans="1:22">
      <c r="A6" s="16" t="s">
        <v>147</v>
      </c>
      <c r="B6" s="16"/>
      <c r="C6" s="16"/>
      <c r="D6" s="16"/>
      <c r="E6" s="16"/>
      <c r="F6" s="16"/>
      <c r="G6" s="16"/>
      <c r="H6" s="16"/>
      <c r="I6" s="16"/>
      <c r="J6" s="16"/>
      <c r="K6" s="16" t="str">
        <f t="shared" ref="K6:K10" si="0">ROUND((K18/S18)*100,1)&amp;"%"</f>
        <v>12,5%</v>
      </c>
      <c r="L6" s="16"/>
      <c r="M6" s="16" t="str">
        <f t="shared" ref="M6:M10" si="1">ROUND((M18/S18)*100,1)&amp;"%"</f>
        <v>87,5%</v>
      </c>
      <c r="N6" s="16"/>
      <c r="O6" s="16"/>
      <c r="P6" s="16"/>
      <c r="Q6" s="16"/>
      <c r="R6" s="25"/>
      <c r="S6" s="16" t="s">
        <v>47</v>
      </c>
      <c r="T6" s="26" t="str" cm="1">
        <f t="array" ref="T6">SUM(VALUE(B6:R6))*100&amp;"%"</f>
        <v>100%</v>
      </c>
    </row>
    <row r="7" spans="1:22">
      <c r="A7" s="16" t="s">
        <v>148</v>
      </c>
      <c r="B7" s="16"/>
      <c r="C7" s="16"/>
      <c r="D7" s="16"/>
      <c r="E7" s="16"/>
      <c r="F7" s="16" t="str">
        <f t="shared" ref="F6:F10" si="2">ROUND((F19/S19)*100,1)&amp;"%"</f>
        <v>10%</v>
      </c>
      <c r="G7" s="16"/>
      <c r="H7" s="16"/>
      <c r="I7" s="16"/>
      <c r="J7" s="16"/>
      <c r="K7" s="16"/>
      <c r="L7" s="16"/>
      <c r="M7" s="16" t="str">
        <f t="shared" si="1"/>
        <v>10%</v>
      </c>
      <c r="N7" s="16" t="str">
        <f t="shared" ref="N6:N10" si="3">ROUND((N19/S19)*100,1)&amp;"%"</f>
        <v>40%</v>
      </c>
      <c r="O7" s="16"/>
      <c r="P7" s="16"/>
      <c r="Q7" s="16" t="str">
        <f t="shared" ref="Q6:Q10" si="4">ROUND((Q19/S19)*100,1)&amp;"%"</f>
        <v>10%</v>
      </c>
      <c r="R7" s="25" t="str">
        <f t="shared" ref="R6:R10" si="5">ROUND((R19/S19)*100,1)&amp;"%"</f>
        <v>30%</v>
      </c>
      <c r="S7" s="16" t="s">
        <v>47</v>
      </c>
      <c r="T7" s="26" t="str" cm="1">
        <f t="array" ref="T7">SUM(VALUE(B7:R7))*100&amp;"%"</f>
        <v>100%</v>
      </c>
    </row>
    <row r="8" spans="1:22">
      <c r="A8" s="33" t="s">
        <v>149</v>
      </c>
      <c r="B8" s="16"/>
      <c r="C8" s="16"/>
      <c r="D8" s="16"/>
      <c r="E8" s="16"/>
      <c r="F8" s="16"/>
      <c r="G8" s="16"/>
      <c r="H8" s="16"/>
      <c r="I8" s="16"/>
      <c r="J8" s="16"/>
      <c r="K8" s="16" t="str">
        <f t="shared" si="0"/>
        <v>20%</v>
      </c>
      <c r="L8" s="16"/>
      <c r="M8" s="16"/>
      <c r="N8" s="16"/>
      <c r="O8" s="16" t="str">
        <f t="shared" ref="O6:O10" si="6">ROUND((O20/S20)*100,1)&amp;"%"</f>
        <v>20%</v>
      </c>
      <c r="P8" s="16" t="str">
        <f t="shared" ref="P6:P10" si="7">ROUND((P20/S20)*100,1)&amp;"%"</f>
        <v>60%</v>
      </c>
      <c r="Q8" s="16"/>
      <c r="R8" s="25"/>
      <c r="S8" s="16" t="s">
        <v>47</v>
      </c>
      <c r="T8" s="26" t="str" cm="1">
        <f t="array" ref="T8">SUM(VALUE(B8:R8))*100&amp;"%"</f>
        <v>100%</v>
      </c>
    </row>
    <row r="9" spans="1:22">
      <c r="A9" s="33" t="s">
        <v>150</v>
      </c>
      <c r="B9" s="33"/>
      <c r="C9" s="33"/>
      <c r="D9" s="33" t="str">
        <f t="shared" ref="D6:D10" si="8">ROUND((D21/S21)*100,1)&amp;"%"</f>
        <v>8,3%</v>
      </c>
      <c r="E9" s="33"/>
      <c r="F9" s="33"/>
      <c r="G9" s="33"/>
      <c r="H9" s="33"/>
      <c r="I9" s="33"/>
      <c r="J9" s="33"/>
      <c r="K9" s="33"/>
      <c r="L9" s="33" t="str">
        <f t="shared" ref="L6:L10" si="9">ROUND((L21/S21)*100,1)&amp;"%"</f>
        <v>41,7%</v>
      </c>
      <c r="M9" s="33" t="str">
        <f t="shared" si="1"/>
        <v>25%</v>
      </c>
      <c r="N9" s="33" t="str">
        <f t="shared" si="3"/>
        <v>8,3%</v>
      </c>
      <c r="O9" s="33"/>
      <c r="P9" s="33" t="str">
        <f t="shared" si="7"/>
        <v>16,7%</v>
      </c>
      <c r="Q9" s="33"/>
      <c r="R9" s="36"/>
      <c r="S9" s="33" t="s">
        <v>47</v>
      </c>
      <c r="T9" s="38" t="str" cm="1">
        <f t="array" ref="T9">SUM(VALUE(B9:R9))*100&amp;"%"</f>
        <v>100%</v>
      </c>
    </row>
    <row r="10" spans="1:22">
      <c r="A10" s="16" t="s">
        <v>151</v>
      </c>
      <c r="B10" s="16" t="str">
        <f t="shared" ref="B6:B10" si="10">ROUND((B22/S22)*100,1)&amp;"%"</f>
        <v>5%</v>
      </c>
      <c r="C10" s="16" t="str">
        <f t="shared" ref="C6:C10" si="11">ROUND((C22/S22)*100,1)&amp;"%"</f>
        <v>5%</v>
      </c>
      <c r="D10" s="16" t="str">
        <f t="shared" si="8"/>
        <v>5%</v>
      </c>
      <c r="E10" s="16"/>
      <c r="F10" s="16"/>
      <c r="G10" s="16" t="str">
        <f t="shared" ref="G6:G10" si="12">ROUND((G22/S22)*100,1)&amp;"%"</f>
        <v>20%</v>
      </c>
      <c r="H10" s="16"/>
      <c r="I10" s="16" t="str">
        <f t="shared" ref="I6:I10" si="13">ROUND((I22/S22)*100,1)&amp;"%"</f>
        <v>10%</v>
      </c>
      <c r="J10" s="16" t="str">
        <f t="shared" ref="J6:J10" si="14">ROUND((J22/S22)*100,1)&amp;"%"</f>
        <v>5%</v>
      </c>
      <c r="K10" s="16" t="str">
        <f t="shared" si="0"/>
        <v>10%</v>
      </c>
      <c r="L10" s="16"/>
      <c r="M10" s="16" t="str">
        <f t="shared" si="1"/>
        <v>20%</v>
      </c>
      <c r="N10" s="16"/>
      <c r="O10" s="16" t="str">
        <f t="shared" si="6"/>
        <v>5%</v>
      </c>
      <c r="P10" s="16" t="str">
        <f t="shared" si="7"/>
        <v>15%</v>
      </c>
      <c r="Q10" s="16"/>
      <c r="R10" s="16"/>
      <c r="S10" s="16" t="s">
        <v>47</v>
      </c>
      <c r="T10" s="16" t="str" cm="1">
        <f t="array" ref="T10">SUM(VALUE(B10:R10))*100&amp;"%"</f>
        <v>100%</v>
      </c>
    </row>
    <row r="11" spans="1:22">
      <c r="A11" s="34"/>
      <c r="B11" s="35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1:2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1:22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</row>
    <row r="15" spans="1:22">
      <c r="S15" s="34"/>
    </row>
    <row r="16" spans="1:22">
      <c r="S16" s="34"/>
    </row>
    <row r="17" spans="2:19">
      <c r="B17" s="16"/>
      <c r="C17" s="16">
        <v>3</v>
      </c>
      <c r="D17" s="16">
        <v>2</v>
      </c>
      <c r="E17" s="16">
        <v>3</v>
      </c>
      <c r="F17" s="16">
        <v>3</v>
      </c>
      <c r="G17" s="16"/>
      <c r="H17" s="16">
        <v>3</v>
      </c>
      <c r="I17" s="16"/>
      <c r="J17" s="16">
        <v>1</v>
      </c>
      <c r="K17" s="16">
        <v>2</v>
      </c>
      <c r="L17" s="16"/>
      <c r="M17" s="16">
        <v>4</v>
      </c>
      <c r="N17" s="16"/>
      <c r="O17" s="16"/>
      <c r="P17" s="16">
        <v>1</v>
      </c>
      <c r="Q17" s="25"/>
      <c r="R17" s="16"/>
      <c r="S17" s="35">
        <f>SUM(B17:R17)</f>
        <v>22</v>
      </c>
    </row>
    <row r="18" spans="2:19">
      <c r="B18" s="16"/>
      <c r="C18" s="16"/>
      <c r="D18" s="16"/>
      <c r="E18" s="16"/>
      <c r="F18" s="16"/>
      <c r="G18" s="16"/>
      <c r="H18" s="16"/>
      <c r="I18" s="16"/>
      <c r="J18" s="16"/>
      <c r="K18" s="16">
        <v>1</v>
      </c>
      <c r="L18" s="16"/>
      <c r="M18" s="16">
        <v>7</v>
      </c>
      <c r="N18" s="16"/>
      <c r="O18" s="16"/>
      <c r="P18" s="16"/>
      <c r="Q18" s="25"/>
      <c r="R18" s="16"/>
      <c r="S18" s="35">
        <f t="shared" ref="S18:S22" si="15">SUM(B18:R18)</f>
        <v>8</v>
      </c>
    </row>
    <row r="19" spans="2:19">
      <c r="B19" s="16"/>
      <c r="C19" s="16"/>
      <c r="D19" s="16"/>
      <c r="E19" s="16"/>
      <c r="F19" s="16">
        <v>1</v>
      </c>
      <c r="G19" s="16"/>
      <c r="H19" s="16"/>
      <c r="I19" s="16"/>
      <c r="J19" s="16"/>
      <c r="K19" s="16"/>
      <c r="L19" s="16"/>
      <c r="M19" s="16">
        <v>1</v>
      </c>
      <c r="N19" s="16">
        <v>4</v>
      </c>
      <c r="O19" s="16"/>
      <c r="P19" s="16"/>
      <c r="Q19" s="25">
        <v>1</v>
      </c>
      <c r="R19" s="16">
        <v>3</v>
      </c>
      <c r="S19" s="35">
        <f t="shared" si="15"/>
        <v>10</v>
      </c>
    </row>
    <row r="20" spans="2:19">
      <c r="B20" s="33"/>
      <c r="C20" s="33"/>
      <c r="D20" s="33"/>
      <c r="E20" s="33"/>
      <c r="F20" s="33"/>
      <c r="G20" s="33"/>
      <c r="H20" s="33"/>
      <c r="I20" s="33"/>
      <c r="J20" s="33"/>
      <c r="K20" s="33">
        <v>1</v>
      </c>
      <c r="L20" s="33"/>
      <c r="M20" s="33"/>
      <c r="N20" s="33"/>
      <c r="O20" s="33">
        <v>1</v>
      </c>
      <c r="P20" s="33">
        <v>3</v>
      </c>
      <c r="Q20" s="36"/>
      <c r="R20" s="16"/>
      <c r="S20" s="35">
        <f t="shared" si="15"/>
        <v>5</v>
      </c>
    </row>
    <row r="21" spans="2:19">
      <c r="B21" s="16"/>
      <c r="C21" s="16"/>
      <c r="D21" s="16">
        <v>1</v>
      </c>
      <c r="E21" s="16"/>
      <c r="F21" s="16"/>
      <c r="G21" s="16"/>
      <c r="H21" s="16"/>
      <c r="I21" s="16"/>
      <c r="J21" s="16"/>
      <c r="K21" s="16"/>
      <c r="L21" s="16">
        <v>5</v>
      </c>
      <c r="M21" s="16">
        <v>3</v>
      </c>
      <c r="N21" s="16">
        <v>1</v>
      </c>
      <c r="O21" s="16"/>
      <c r="P21" s="16">
        <v>2</v>
      </c>
      <c r="Q21" s="25"/>
      <c r="R21" s="16"/>
      <c r="S21" s="35">
        <f t="shared" si="15"/>
        <v>12</v>
      </c>
    </row>
    <row r="22" spans="2:19">
      <c r="B22" s="16">
        <v>1</v>
      </c>
      <c r="C22" s="16">
        <v>1</v>
      </c>
      <c r="D22" s="16">
        <v>1</v>
      </c>
      <c r="E22" s="16"/>
      <c r="F22" s="16"/>
      <c r="G22" s="16">
        <v>4</v>
      </c>
      <c r="H22" s="16"/>
      <c r="I22" s="16">
        <v>2</v>
      </c>
      <c r="J22" s="16">
        <v>1</v>
      </c>
      <c r="K22" s="16">
        <v>2</v>
      </c>
      <c r="L22" s="16"/>
      <c r="M22" s="16">
        <v>4</v>
      </c>
      <c r="N22" s="16"/>
      <c r="O22" s="16">
        <v>1</v>
      </c>
      <c r="P22" s="16">
        <v>3</v>
      </c>
      <c r="Q22" s="25"/>
      <c r="R22" s="16"/>
      <c r="S22" s="35">
        <f t="shared" si="15"/>
        <v>20</v>
      </c>
    </row>
    <row r="23" spans="2:19">
      <c r="S23" s="34">
        <f>SUM(S17:S22)</f>
        <v>77</v>
      </c>
    </row>
    <row r="24" spans="2:19">
      <c r="S24" s="34"/>
    </row>
    <row r="25" spans="2:19">
      <c r="S25" s="34"/>
    </row>
    <row r="26" spans="2:19">
      <c r="S26" s="34"/>
    </row>
  </sheetData>
  <mergeCells count="8">
    <mergeCell ref="A1:S1"/>
    <mergeCell ref="N2:S2"/>
    <mergeCell ref="B2:M2"/>
    <mergeCell ref="B3:D3"/>
    <mergeCell ref="E3:J3"/>
    <mergeCell ref="K3:L3"/>
    <mergeCell ref="N3:O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 Sanchis Monzo</cp:lastModifiedBy>
  <cp:revision/>
  <dcterms:created xsi:type="dcterms:W3CDTF">2025-06-02T11:27:29Z</dcterms:created>
  <dcterms:modified xsi:type="dcterms:W3CDTF">2025-06-03T11:47:03Z</dcterms:modified>
  <cp:category/>
  <cp:contentStatus/>
</cp:coreProperties>
</file>